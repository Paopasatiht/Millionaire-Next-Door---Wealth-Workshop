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nual_Budget" sheetId="2" state="visible" r:id="rId2"/>
    <sheet xmlns:r="http://schemas.openxmlformats.org/officeDocument/2006/relationships" name="Monthly_Log" sheetId="3" state="visible" r:id="rId3"/>
    <sheet xmlns:r="http://schemas.openxmlformats.org/officeDocument/2006/relationships" name="Goals_Matrix" sheetId="4" state="visible" r:id="rId4"/>
    <sheet xmlns:r="http://schemas.openxmlformats.org/officeDocument/2006/relationships" name="Planning_Time_Log" sheetId="5" state="visible" r:id="rId5"/>
    <sheet xmlns:r="http://schemas.openxmlformats.org/officeDocument/2006/relationships" name="Review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×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</font>
    <font>
      <b val="1"/>
      <sz val="12"/>
    </font>
    <font>
      <b val="1"/>
      <color rgb="00FFFFFF"/>
    </font>
    <font>
      <b val="1"/>
      <color rgb="00FFFFFF"/>
      <sz val="14"/>
    </font>
    <font/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AF0FB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pivotButton="0" quotePrefix="0" xfId="0"/>
    <xf numFmtId="3" fontId="0" fillId="0" borderId="0" pivotButton="0" quotePrefix="0" xfId="0"/>
    <xf numFmtId="3" fontId="0" fillId="4" borderId="1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wrapText="1"/>
    </xf>
    <xf numFmtId="0" fontId="3" fillId="4" borderId="1" pivotButton="0" quotePrefix="0" xfId="0"/>
    <xf numFmtId="9" fontId="0" fillId="4" borderId="1" pivotButton="0" quotePrefix="0" xfId="0"/>
    <xf numFmtId="0" fontId="7" fillId="6" borderId="1" pivotButton="0" quotePrefix="0" xfId="0"/>
    <xf numFmtId="0" fontId="0" fillId="6" borderId="1" pivotButton="0" quotePrefix="0" xfId="0"/>
    <xf numFmtId="3" fontId="0" fillId="6" borderId="1" pivotButton="0" quotePrefix="0" xfId="0"/>
    <xf numFmtId="9" fontId="0" fillId="6" borderId="1" pivotButton="0" quotePrefix="0" xfId="0"/>
    <xf numFmtId="0" fontId="7" fillId="4" borderId="1" pivotButton="0" quotePrefix="0" xfId="0"/>
    <xf numFmtId="0" fontId="3" fillId="6" borderId="1" pivotButton="0" quotePrefix="0" xfId="0"/>
    <xf numFmtId="0" fontId="5" fillId="5" borderId="0" pivotButton="0" quotePrefix="0" xfId="0"/>
    <xf numFmtId="0" fontId="5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3" fillId="7" borderId="0" pivotButton="0" quotePrefix="0" xfId="0"/>
    <xf numFmtId="165" fontId="0" fillId="6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166" fontId="0" fillId="4" borderId="1" pivotButton="0" quotePrefix="0" xfId="0"/>
    <xf numFmtId="166" fontId="0" fillId="6" borderId="1" pivotButton="0" quotePrefix="0" xfId="0"/>
    <xf numFmtId="166" fontId="3" fillId="8" borderId="0" pivotButton="0" quotePrefix="0" xfId="0"/>
    <xf numFmtId="166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4" customWidth="1" min="4" max="4"/>
  </cols>
  <sheetData>
    <row r="1" ht="36" customHeight="1">
      <c r="A1" s="1" t="inlineStr">
        <is>
          <t>MND WEALTH DASHBOARD</t>
        </is>
      </c>
    </row>
    <row r="3">
      <c r="A3" s="2" t="inlineStr">
        <is>
          <t>PROFILE</t>
        </is>
      </c>
    </row>
    <row r="4">
      <c r="A4" s="3" t="inlineStr">
        <is>
          <t>Name</t>
        </is>
      </c>
      <c r="B4" s="4" t="n"/>
    </row>
    <row r="5">
      <c r="A5" s="3" t="inlineStr">
        <is>
          <t>Birth Year</t>
        </is>
      </c>
      <c r="B5" s="4" t="n"/>
    </row>
    <row r="6">
      <c r="A6" s="3" t="inlineStr">
        <is>
          <t>Annual Pre-tax Income (฿)</t>
        </is>
      </c>
      <c r="B6" s="4" t="n"/>
    </row>
    <row r="7">
      <c r="A7" s="3" t="inlineStr">
        <is>
          <t>Current Year</t>
        </is>
      </c>
      <c r="B7" s="4" t="n"/>
    </row>
    <row r="9">
      <c r="A9" s="2" t="inlineStr">
        <is>
          <t>PAW / UAW CALCULATOR</t>
        </is>
      </c>
    </row>
    <row r="10">
      <c r="A10" t="inlineStr">
        <is>
          <t>Age</t>
        </is>
      </c>
      <c r="B10">
        <f>C7-(YEAR(TODAY())-B4)</f>
        <v/>
      </c>
    </row>
    <row r="11">
      <c r="A11" t="inlineStr">
        <is>
          <t>Expected Net Worth (฿)</t>
        </is>
      </c>
      <c r="B11" s="5">
        <f>B10*C4/10</f>
        <v/>
      </c>
    </row>
    <row r="12">
      <c r="A12" t="inlineStr">
        <is>
          <t>Actual Net Worth (฿)</t>
        </is>
      </c>
      <c r="B12" s="6" t="n"/>
    </row>
    <row r="13">
      <c r="A13" t="inlineStr">
        <is>
          <t>Multiplier (Actual / Expected)</t>
        </is>
      </c>
      <c r="B13" s="7">
        <f>IFERROR(B12/B11,"")</f>
        <v/>
      </c>
    </row>
    <row r="14">
      <c r="A14" t="inlineStr">
        <is>
          <t>Status</t>
        </is>
      </c>
      <c r="B14" s="8">
        <f>IFERROR(IF(B13&gt;=2,"PAW ✓",IF(B13&gt;=0.5,"AAW","UAW ✗")),"")</f>
        <v/>
      </c>
    </row>
    <row r="16">
      <c r="A16" s="2" t="inlineStr">
        <is>
          <t>ANNUAL KPIs</t>
        </is>
      </c>
    </row>
    <row r="17">
      <c r="A17" s="9" t="inlineStr">
        <is>
          <t>Metric</t>
        </is>
      </c>
      <c r="B17" s="9" t="inlineStr">
        <is>
          <t>Target</t>
        </is>
      </c>
      <c r="C17" s="9" t="inlineStr">
        <is>
          <t>Actual</t>
        </is>
      </c>
      <c r="D17" s="9" t="inlineStr">
        <is>
          <t>Status</t>
        </is>
      </c>
    </row>
    <row r="18" ht="20" customHeight="1">
      <c r="A18" s="3" t="inlineStr">
        <is>
          <t>Savings Rate</t>
        </is>
      </c>
      <c r="B18" s="10" t="inlineStr">
        <is>
          <t>≥ 20%</t>
        </is>
      </c>
      <c r="C18" s="11">
        <f>Annual_Budget!C3</f>
        <v/>
      </c>
    </row>
    <row r="19" ht="20" customHeight="1">
      <c r="A19" s="3" t="inlineStr">
        <is>
          <t>Planning Hours / Month</t>
        </is>
      </c>
      <c r="B19" s="10" t="inlineStr">
        <is>
          <t>≥ 8 hrs</t>
        </is>
      </c>
      <c r="C19" s="11">
        <f>AVERAGE(Planning_Time_Log!C2:C13)</f>
        <v/>
      </c>
    </row>
    <row r="20" ht="20" customHeight="1">
      <c r="A20" s="3" t="inlineStr">
        <is>
          <t>Goals Completed</t>
        </is>
      </c>
      <c r="B20" s="10" t="inlineStr">
        <is>
          <t>100%</t>
        </is>
      </c>
      <c r="C20" s="11" t="n"/>
    </row>
    <row r="21" ht="20" customHeight="1">
      <c r="A21" s="3" t="inlineStr">
        <is>
          <t>Net Worth Growth</t>
        </is>
      </c>
      <c r="B21" s="10" t="inlineStr">
        <is>
          <t>≥ 10%</t>
        </is>
      </c>
      <c r="C21" s="11" t="n"/>
    </row>
  </sheetData>
  <mergeCells count="4">
    <mergeCell ref="A3:G3"/>
    <mergeCell ref="A16:G16"/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6" customWidth="1" min="5" max="5"/>
    <col width="16" customWidth="1" min="6" max="6"/>
    <col width="10" customWidth="1" min="7" max="7"/>
  </cols>
  <sheetData>
    <row r="1" ht="30" customHeight="1">
      <c r="A1" s="12" t="inlineStr">
        <is>
          <t>ANNUAL BUDGET</t>
        </is>
      </c>
    </row>
    <row r="2">
      <c r="A2" t="inlineStr">
        <is>
          <t>Total Income (฿)</t>
        </is>
      </c>
      <c r="B2" s="4" t="n"/>
    </row>
    <row r="3">
      <c r="A3" t="inlineStr">
        <is>
          <t>Savings Rate</t>
        </is>
      </c>
      <c r="B3" s="11">
        <f>IFERROR(1-(SUM(D5:D100)/B2),"")</f>
        <v/>
      </c>
    </row>
    <row r="5" ht="30" customHeight="1">
      <c r="A5" s="13" t="inlineStr">
        <is>
          <t>Category</t>
        </is>
      </c>
      <c r="B5" s="13" t="inlineStr">
        <is>
          <t>Sub-category</t>
        </is>
      </c>
      <c r="C5" s="13" t="inlineStr">
        <is>
          <t>Monthly Budget (฿)</t>
        </is>
      </c>
      <c r="D5" s="13" t="inlineStr">
        <is>
          <t>Annual Budget (฿)</t>
        </is>
      </c>
      <c r="E5" s="13" t="inlineStr">
        <is>
          <t>Actual YTD (฿)</t>
        </is>
      </c>
      <c r="F5" s="13" t="inlineStr">
        <is>
          <t>Variance (฿)</t>
        </is>
      </c>
      <c r="G5" s="13" t="inlineStr">
        <is>
          <t>% Used</t>
        </is>
      </c>
    </row>
    <row r="6">
      <c r="A6" s="14" t="inlineStr">
        <is>
          <t>อาหาร</t>
        </is>
      </c>
      <c r="B6" s="4" t="inlineStr">
        <is>
          <t>อาหารที่บ้าน</t>
        </is>
      </c>
      <c r="C6" s="6" t="n"/>
      <c r="D6" s="6">
        <f>C6*12</f>
        <v/>
      </c>
      <c r="E6" s="6" t="n"/>
      <c r="F6" s="6">
        <f>D6-E6</f>
        <v/>
      </c>
      <c r="G6" s="15">
        <f>IFERROR(E6/D6,"")</f>
        <v/>
      </c>
    </row>
    <row r="7">
      <c r="A7" s="16" t="inlineStr"/>
      <c r="B7" s="17" t="inlineStr">
        <is>
          <t>อาหารนอกบ้าน</t>
        </is>
      </c>
      <c r="C7" s="18" t="n"/>
      <c r="D7" s="18">
        <f>C7*12</f>
        <v/>
      </c>
      <c r="E7" s="18" t="n"/>
      <c r="F7" s="18">
        <f>D7-E7</f>
        <v/>
      </c>
      <c r="G7" s="19">
        <f>IFERROR(E7/D7,"")</f>
        <v/>
      </c>
    </row>
    <row r="8">
      <c r="A8" s="20" t="inlineStr"/>
      <c r="B8" s="4" t="inlineStr">
        <is>
          <t>เครื่องดื่ม / กาแฟ</t>
        </is>
      </c>
      <c r="C8" s="6" t="n"/>
      <c r="D8" s="6">
        <f>C8*12</f>
        <v/>
      </c>
      <c r="E8" s="6" t="n"/>
      <c r="F8" s="6">
        <f>D8-E8</f>
        <v/>
      </c>
      <c r="G8" s="15">
        <f>IFERROR(E8/D8,"")</f>
        <v/>
      </c>
    </row>
    <row r="9">
      <c r="A9" s="21" t="inlineStr">
        <is>
          <t>ที่อยู่อาศัย</t>
        </is>
      </c>
      <c r="B9" s="17" t="inlineStr">
        <is>
          <t>ค่าเช่า / ค่าผ่อนบ้าน</t>
        </is>
      </c>
      <c r="C9" s="18" t="n"/>
      <c r="D9" s="18">
        <f>C9*12</f>
        <v/>
      </c>
      <c r="E9" s="18" t="n"/>
      <c r="F9" s="18">
        <f>D9-E9</f>
        <v/>
      </c>
      <c r="G9" s="19">
        <f>IFERROR(E9/D9,"")</f>
        <v/>
      </c>
    </row>
    <row r="10">
      <c r="A10" s="20" t="inlineStr"/>
      <c r="B10" s="4" t="inlineStr">
        <is>
          <t>ค่าน้ำ / ไฟ / อินเตอร์เน็ต</t>
        </is>
      </c>
      <c r="C10" s="6" t="n"/>
      <c r="D10" s="6">
        <f>C10*12</f>
        <v/>
      </c>
      <c r="E10" s="6" t="n"/>
      <c r="F10" s="6">
        <f>D10-E10</f>
        <v/>
      </c>
      <c r="G10" s="15">
        <f>IFERROR(E10/D10,"")</f>
        <v/>
      </c>
    </row>
    <row r="11">
      <c r="A11" s="16" t="inlineStr"/>
      <c r="B11" s="17" t="inlineStr">
        <is>
          <t>ค่าซ่อมแซม / ของใช้ในบ้าน</t>
        </is>
      </c>
      <c r="C11" s="18" t="n"/>
      <c r="D11" s="18">
        <f>C11*12</f>
        <v/>
      </c>
      <c r="E11" s="18" t="n"/>
      <c r="F11" s="18">
        <f>D11-E11</f>
        <v/>
      </c>
      <c r="G11" s="19">
        <f>IFERROR(E11/D11,"")</f>
        <v/>
      </c>
    </row>
    <row r="12">
      <c r="A12" s="14" t="inlineStr">
        <is>
          <t>เสื้อผ้า</t>
        </is>
      </c>
      <c r="B12" s="4" t="inlineStr">
        <is>
          <t>เสื้อผ้าตัวเอง</t>
        </is>
      </c>
      <c r="C12" s="6" t="n"/>
      <c r="D12" s="6">
        <f>C12*12</f>
        <v/>
      </c>
      <c r="E12" s="6" t="n"/>
      <c r="F12" s="6">
        <f>D12-E12</f>
        <v/>
      </c>
      <c r="G12" s="15">
        <f>IFERROR(E12/D12,"")</f>
        <v/>
      </c>
    </row>
    <row r="13">
      <c r="A13" s="16" t="inlineStr"/>
      <c r="B13" s="17" t="inlineStr">
        <is>
          <t>เสื้อผ้าบุตร</t>
        </is>
      </c>
      <c r="C13" s="18" t="n"/>
      <c r="D13" s="18">
        <f>C13*12</f>
        <v/>
      </c>
      <c r="E13" s="18" t="n"/>
      <c r="F13" s="18">
        <f>D13-E13</f>
        <v/>
      </c>
      <c r="G13" s="19">
        <f>IFERROR(E13/D13,"")</f>
        <v/>
      </c>
    </row>
    <row r="14">
      <c r="A14" s="14" t="inlineStr">
        <is>
          <t>การเดินทาง</t>
        </is>
      </c>
      <c r="B14" s="4" t="inlineStr">
        <is>
          <t>น้ำมัน / ค่าเดินทาง</t>
        </is>
      </c>
      <c r="C14" s="6" t="n"/>
      <c r="D14" s="6">
        <f>C14*12</f>
        <v/>
      </c>
      <c r="E14" s="6" t="n"/>
      <c r="F14" s="6">
        <f>D14-E14</f>
        <v/>
      </c>
      <c r="G14" s="15">
        <f>IFERROR(E14/D14,"")</f>
        <v/>
      </c>
    </row>
    <row r="15">
      <c r="A15" s="16" t="inlineStr"/>
      <c r="B15" s="17" t="inlineStr">
        <is>
          <t>ค่าบำรุงรักษารถ</t>
        </is>
      </c>
      <c r="C15" s="18" t="n"/>
      <c r="D15" s="18">
        <f>C15*12</f>
        <v/>
      </c>
      <c r="E15" s="18" t="n"/>
      <c r="F15" s="18">
        <f>D15-E15</f>
        <v/>
      </c>
      <c r="G15" s="19">
        <f>IFERROR(E15/D15,"")</f>
        <v/>
      </c>
    </row>
    <row r="16">
      <c r="A16" s="14" t="inlineStr">
        <is>
          <t>สุขภาพ</t>
        </is>
      </c>
      <c r="B16" s="4" t="inlineStr">
        <is>
          <t>ประกันสุขภาพ</t>
        </is>
      </c>
      <c r="C16" s="6" t="n"/>
      <c r="D16" s="6">
        <f>C16*12</f>
        <v/>
      </c>
      <c r="E16" s="6" t="n"/>
      <c r="F16" s="6">
        <f>D16-E16</f>
        <v/>
      </c>
      <c r="G16" s="15">
        <f>IFERROR(E16/D16,"")</f>
        <v/>
      </c>
    </row>
    <row r="17">
      <c r="A17" s="16" t="inlineStr"/>
      <c r="B17" s="17" t="inlineStr">
        <is>
          <t>ค่าหมอ / ยา</t>
        </is>
      </c>
      <c r="C17" s="18" t="n"/>
      <c r="D17" s="18">
        <f>C17*12</f>
        <v/>
      </c>
      <c r="E17" s="18" t="n"/>
      <c r="F17" s="18">
        <f>D17-E17</f>
        <v/>
      </c>
      <c r="G17" s="19">
        <f>IFERROR(E17/D17,"")</f>
        <v/>
      </c>
    </row>
    <row r="18">
      <c r="A18" s="14" t="inlineStr">
        <is>
          <t>การศึกษา</t>
        </is>
      </c>
      <c r="B18" s="4" t="inlineStr">
        <is>
          <t>ค่าเล่าเรียนบุตร</t>
        </is>
      </c>
      <c r="C18" s="6" t="n"/>
      <c r="D18" s="6">
        <f>C18*12</f>
        <v/>
      </c>
      <c r="E18" s="6" t="n"/>
      <c r="F18" s="6">
        <f>D18-E18</f>
        <v/>
      </c>
      <c r="G18" s="15">
        <f>IFERROR(E18/D18,"")</f>
        <v/>
      </c>
    </row>
    <row r="19">
      <c r="A19" s="16" t="inlineStr"/>
      <c r="B19" s="17" t="inlineStr">
        <is>
          <t>ค่าหนังสือ / คอร์สเรียน</t>
        </is>
      </c>
      <c r="C19" s="18" t="n"/>
      <c r="D19" s="18">
        <f>C19*12</f>
        <v/>
      </c>
      <c r="E19" s="18" t="n"/>
      <c r="F19" s="18">
        <f>D19-E19</f>
        <v/>
      </c>
      <c r="G19" s="19">
        <f>IFERROR(E19/D19,"")</f>
        <v/>
      </c>
    </row>
    <row r="20">
      <c r="A20" s="14" t="inlineStr">
        <is>
          <t>ของขวัญ / สังคม</t>
        </is>
      </c>
      <c r="B20" s="4" t="inlineStr">
        <is>
          <t>ของขวัญ / งานสังคม</t>
        </is>
      </c>
      <c r="C20" s="6" t="n"/>
      <c r="D20" s="6">
        <f>C20*12</f>
        <v/>
      </c>
      <c r="E20" s="6" t="n"/>
      <c r="F20" s="6">
        <f>D20-E20</f>
        <v/>
      </c>
      <c r="G20" s="15">
        <f>IFERROR(E20/D20,"")</f>
        <v/>
      </c>
    </row>
    <row r="21">
      <c r="A21" s="16" t="inlineStr"/>
      <c r="B21" s="17" t="inlineStr">
        <is>
          <t>เลี้ยงดูครอบครัว / พ่อแม่</t>
        </is>
      </c>
      <c r="C21" s="18" t="n"/>
      <c r="D21" s="18">
        <f>C21*12</f>
        <v/>
      </c>
      <c r="E21" s="18" t="n"/>
      <c r="F21" s="18">
        <f>D21-E21</f>
        <v/>
      </c>
      <c r="G21" s="19">
        <f>IFERROR(E21/D21,"")</f>
        <v/>
      </c>
    </row>
    <row r="22">
      <c r="A22" s="14" t="inlineStr">
        <is>
          <t>บันเทิง</t>
        </is>
      </c>
      <c r="B22" s="4" t="inlineStr">
        <is>
          <t>ท่องเที่ยว</t>
        </is>
      </c>
      <c r="C22" s="6" t="n"/>
      <c r="D22" s="6">
        <f>C22*12</f>
        <v/>
      </c>
      <c r="E22" s="6" t="n"/>
      <c r="F22" s="6">
        <f>D22-E22</f>
        <v/>
      </c>
      <c r="G22" s="15">
        <f>IFERROR(E22/D22,"")</f>
        <v/>
      </c>
    </row>
    <row r="23">
      <c r="A23" s="16" t="inlineStr"/>
      <c r="B23" s="17" t="inlineStr">
        <is>
          <t>ความบันเทิงอื่น ๆ</t>
        </is>
      </c>
      <c r="C23" s="18" t="n"/>
      <c r="D23" s="18">
        <f>C23*12</f>
        <v/>
      </c>
      <c r="E23" s="18" t="n"/>
      <c r="F23" s="18">
        <f>D23-E23</f>
        <v/>
      </c>
      <c r="G23" s="19">
        <f>IFERROR(E23/D23,"")</f>
        <v/>
      </c>
    </row>
    <row r="24">
      <c r="A24" s="14" t="inlineStr">
        <is>
          <t>ออมทรัพย์ / ลงทุน</t>
        </is>
      </c>
      <c r="B24" s="4" t="inlineStr">
        <is>
          <t>กองทุน / หุ้น</t>
        </is>
      </c>
      <c r="C24" s="6" t="n"/>
      <c r="D24" s="6">
        <f>C24*12</f>
        <v/>
      </c>
      <c r="E24" s="6" t="n"/>
      <c r="F24" s="6">
        <f>D24-E24</f>
        <v/>
      </c>
      <c r="G24" s="15">
        <f>IFERROR(E24/D24,"")</f>
        <v/>
      </c>
    </row>
    <row r="25">
      <c r="A25" s="16" t="inlineStr"/>
      <c r="B25" s="17" t="inlineStr">
        <is>
          <t>กองทุนฉุกเฉิน</t>
        </is>
      </c>
      <c r="C25" s="18" t="n"/>
      <c r="D25" s="18">
        <f>C25*12</f>
        <v/>
      </c>
      <c r="E25" s="18" t="n"/>
      <c r="F25" s="18">
        <f>D25-E25</f>
        <v/>
      </c>
      <c r="G25" s="19">
        <f>IFERROR(E25/D25,"")</f>
        <v/>
      </c>
    </row>
    <row r="26">
      <c r="A26" s="14" t="inlineStr">
        <is>
          <t>อื่น ๆ</t>
        </is>
      </c>
      <c r="B26" s="4" t="inlineStr">
        <is>
          <t>ค่าใช้จ่ายเบ็ดเตล็ด</t>
        </is>
      </c>
      <c r="C26" s="6" t="n"/>
      <c r="D26" s="6">
        <f>C26*12</f>
        <v/>
      </c>
      <c r="E26" s="6" t="n"/>
      <c r="F26" s="6">
        <f>D26-E26</f>
        <v/>
      </c>
      <c r="G26" s="15">
        <f>IFERROR(E26/D26,"")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2" t="inlineStr">
        <is>
          <t>MONTHLY LOG</t>
        </is>
      </c>
    </row>
    <row r="2">
      <c r="A2" s="22" t="inlineStr">
        <is>
          <t>Metric</t>
        </is>
      </c>
      <c r="B2" s="23" t="inlineStr">
        <is>
          <t>Jan</t>
        </is>
      </c>
      <c r="C2" s="23" t="inlineStr">
        <is>
          <t>Feb</t>
        </is>
      </c>
      <c r="D2" s="23" t="inlineStr">
        <is>
          <t>Mar</t>
        </is>
      </c>
      <c r="E2" s="23" t="inlineStr">
        <is>
          <t>Apr</t>
        </is>
      </c>
      <c r="F2" s="23" t="inlineStr">
        <is>
          <t>May</t>
        </is>
      </c>
      <c r="G2" s="23" t="inlineStr">
        <is>
          <t>Jun</t>
        </is>
      </c>
      <c r="H2" s="23" t="inlineStr">
        <is>
          <t>Jul</t>
        </is>
      </c>
      <c r="I2" s="23" t="inlineStr">
        <is>
          <t>Aug</t>
        </is>
      </c>
      <c r="J2" s="23" t="inlineStr">
        <is>
          <t>Sep</t>
        </is>
      </c>
      <c r="K2" s="23" t="inlineStr">
        <is>
          <t>Oct</t>
        </is>
      </c>
      <c r="L2" s="23" t="inlineStr">
        <is>
          <t>Nov</t>
        </is>
      </c>
      <c r="M2" s="23" t="inlineStr">
        <is>
          <t>Dec</t>
        </is>
      </c>
      <c r="N2" s="24" t="inlineStr">
        <is>
          <t>TOTAL</t>
        </is>
      </c>
    </row>
    <row r="3" ht="22" customHeight="1">
      <c r="A3" s="25" t="inlineStr">
        <is>
          <t>รายได้รวม (฿)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4">
        <f>SUM(B3:M3)</f>
        <v/>
      </c>
    </row>
    <row r="4" ht="22" customHeight="1">
      <c r="A4" s="25" t="inlineStr">
        <is>
          <t>รายจ่ายรวม (฿)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7">
        <f>SUM(B4:M4)</f>
        <v/>
      </c>
    </row>
    <row r="5" ht="22" customHeight="1">
      <c r="A5" s="25" t="inlineStr">
        <is>
          <t>ออมได้ (฿)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4">
        <f>SUM(B5:M5)</f>
        <v/>
      </c>
    </row>
    <row r="6" ht="22" customHeight="1">
      <c r="A6" s="25" t="inlineStr">
        <is>
          <t>Savings Rate (%)</t>
        </is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17" t="n"/>
    </row>
    <row r="7" ht="22" customHeight="1">
      <c r="A7" s="25" t="inlineStr">
        <is>
          <t>Net Worth ณ สิ้นเดือน (฿)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4">
        <f>SUM(B7:M7)</f>
        <v/>
      </c>
    </row>
    <row r="8" ht="22" customHeight="1">
      <c r="A8" s="25" t="inlineStr">
        <is>
          <t>ชั่วโมงวางแผนการเงิน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>
        <f>SUM(B8:M8)</f>
        <v/>
      </c>
    </row>
    <row r="9" ht="22" customHeight="1">
      <c r="A9" s="25" t="inlineStr">
        <is>
          <t>Budget: ทำตามได้? (Y/N)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 ht="22" customHeight="1">
      <c r="A10" s="25" t="inlineStr">
        <is>
          <t>หมวดที่บานปลายมากสุด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 ht="22" customHeight="1">
      <c r="A11" s="25" t="inlineStr">
        <is>
          <t>Note / Lesson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2" customWidth="1" min="4" max="4"/>
    <col width="22" customWidth="1" min="5" max="5"/>
  </cols>
  <sheetData>
    <row r="1" ht="30" customHeight="1">
      <c r="A1" s="12" t="inlineStr">
        <is>
          <t>GOALS MATRIX</t>
        </is>
      </c>
    </row>
    <row r="2" ht="24" customHeight="1">
      <c r="A2" s="2" t="inlineStr">
        <is>
          <t>DAILY HABITS</t>
        </is>
      </c>
    </row>
    <row r="3">
      <c r="A3" s="9" t="inlineStr">
        <is>
          <t>Goal</t>
        </is>
      </c>
      <c r="B3" s="9" t="inlineStr">
        <is>
          <t>Target / Detail</t>
        </is>
      </c>
      <c r="C3" s="9" t="inlineStr">
        <is>
          <t>Deadline</t>
        </is>
      </c>
      <c r="D3" s="9" t="inlineStr">
        <is>
          <t>Status</t>
        </is>
      </c>
      <c r="E3" s="9" t="inlineStr">
        <is>
          <t>Notes</t>
        </is>
      </c>
    </row>
    <row r="4" ht="20" customHeight="1">
      <c r="A4" s="4" t="inlineStr">
        <is>
          <t>ตรวจสอบรายจ่ายประจำวัน</t>
        </is>
      </c>
      <c r="B4" s="4" t="n"/>
      <c r="C4" s="4" t="n"/>
      <c r="D4" s="4" t="n"/>
      <c r="E4" s="4" t="n"/>
      <c r="F4" s="4" t="n"/>
    </row>
    <row r="5" ht="20" customHeight="1">
      <c r="A5" s="17" t="inlineStr">
        <is>
          <t>อ่านหนังสือ / บทความการเงิน 15 นาที</t>
        </is>
      </c>
      <c r="B5" s="17" t="n"/>
      <c r="C5" s="17" t="n"/>
      <c r="D5" s="17" t="n"/>
      <c r="E5" s="17" t="n"/>
      <c r="F5" s="17" t="n"/>
    </row>
    <row r="6" ht="20" customHeight="1">
      <c r="A6" s="4" t="inlineStr">
        <is>
          <t>Custom habit 1</t>
        </is>
      </c>
      <c r="B6" s="4" t="n"/>
      <c r="C6" s="4" t="n"/>
      <c r="D6" s="4" t="n"/>
      <c r="E6" s="4" t="n"/>
      <c r="F6" s="4" t="n"/>
    </row>
    <row r="7" ht="20" customHeight="1">
      <c r="A7" s="17" t="inlineStr">
        <is>
          <t>Custom habit 2</t>
        </is>
      </c>
      <c r="B7" s="17" t="n"/>
      <c r="C7" s="17" t="n"/>
      <c r="D7" s="17" t="n"/>
      <c r="E7" s="17" t="n"/>
      <c r="F7" s="17" t="n"/>
    </row>
    <row r="9" ht="24" customHeight="1">
      <c r="A9" s="2" t="inlineStr">
        <is>
          <t>WEEKLY GOALS</t>
        </is>
      </c>
    </row>
    <row r="10">
      <c r="A10" s="9" t="inlineStr">
        <is>
          <t>Goal</t>
        </is>
      </c>
      <c r="B10" s="9" t="inlineStr">
        <is>
          <t>Target / Detail</t>
        </is>
      </c>
      <c r="C10" s="9" t="inlineStr">
        <is>
          <t>Deadline</t>
        </is>
      </c>
      <c r="D10" s="9" t="inlineStr">
        <is>
          <t>Status</t>
        </is>
      </c>
      <c r="E10" s="9" t="inlineStr">
        <is>
          <t>Notes</t>
        </is>
      </c>
    </row>
    <row r="11" ht="20" customHeight="1">
      <c r="A11" s="17" t="inlineStr">
        <is>
          <t>สรุปรายจ่ายรายสัปดาห์</t>
        </is>
      </c>
      <c r="B11" s="17" t="n"/>
      <c r="C11" s="17" t="n"/>
      <c r="D11" s="17" t="n"/>
      <c r="E11" s="17" t="n"/>
      <c r="F11" s="17" t="n"/>
    </row>
    <row r="12" ht="20" customHeight="1">
      <c r="A12" s="4" t="inlineStr">
        <is>
          <t>ทบทวนพอร์ตลงทุน</t>
        </is>
      </c>
      <c r="B12" s="4" t="n"/>
      <c r="C12" s="4" t="n"/>
      <c r="D12" s="4" t="n"/>
      <c r="E12" s="4" t="n"/>
      <c r="F12" s="4" t="n"/>
    </row>
    <row r="13" ht="20" customHeight="1">
      <c r="A13" s="17" t="inlineStr">
        <is>
          <t>Custom goal 1</t>
        </is>
      </c>
      <c r="B13" s="17" t="n"/>
      <c r="C13" s="17" t="n"/>
      <c r="D13" s="17" t="n"/>
      <c r="E13" s="17" t="n"/>
      <c r="F13" s="17" t="n"/>
    </row>
    <row r="15" ht="24" customHeight="1">
      <c r="A15" s="2" t="inlineStr">
        <is>
          <t>MONTHLY GOALS</t>
        </is>
      </c>
    </row>
    <row r="16">
      <c r="A16" s="9" t="inlineStr">
        <is>
          <t>Goal</t>
        </is>
      </c>
      <c r="B16" s="9" t="inlineStr">
        <is>
          <t>Target / Detail</t>
        </is>
      </c>
      <c r="C16" s="9" t="inlineStr">
        <is>
          <t>Deadline</t>
        </is>
      </c>
      <c r="D16" s="9" t="inlineStr">
        <is>
          <t>Status</t>
        </is>
      </c>
      <c r="E16" s="9" t="inlineStr">
        <is>
          <t>Notes</t>
        </is>
      </c>
    </row>
    <row r="17" ht="20" customHeight="1">
      <c r="A17" s="17" t="inlineStr">
        <is>
          <t>กรอก Monthly Log</t>
        </is>
      </c>
      <c r="B17" s="17" t="n"/>
      <c r="C17" s="17" t="n"/>
      <c r="D17" s="17" t="n"/>
      <c r="E17" s="17" t="n"/>
      <c r="F17" s="17" t="n"/>
    </row>
    <row r="18" ht="20" customHeight="1">
      <c r="A18" s="4" t="inlineStr">
        <is>
          <t>บันทึกชั่วโมงวางแผนการเงิน</t>
        </is>
      </c>
      <c r="B18" s="4" t="n"/>
      <c r="C18" s="4" t="n"/>
      <c r="D18" s="4" t="n"/>
      <c r="E18" s="4" t="n"/>
      <c r="F18" s="4" t="n"/>
    </row>
    <row r="19" ht="20" customHeight="1">
      <c r="A19" s="17" t="inlineStr">
        <is>
          <t>ทบทวน budget vs actual</t>
        </is>
      </c>
      <c r="B19" s="17" t="n"/>
      <c r="C19" s="17" t="n"/>
      <c r="D19" s="17" t="n"/>
      <c r="E19" s="17" t="n"/>
      <c r="F19" s="17" t="n"/>
    </row>
    <row r="20" ht="20" customHeight="1">
      <c r="A20" s="4" t="inlineStr">
        <is>
          <t>Custom goal 1</t>
        </is>
      </c>
      <c r="B20" s="4" t="n"/>
      <c r="C20" s="4" t="n"/>
      <c r="D20" s="4" t="n"/>
      <c r="E20" s="4" t="n"/>
      <c r="F20" s="4" t="n"/>
    </row>
    <row r="22" ht="24" customHeight="1">
      <c r="A22" s="2" t="inlineStr">
        <is>
          <t>ANNUAL GOALS</t>
        </is>
      </c>
    </row>
    <row r="23">
      <c r="A23" s="9" t="inlineStr">
        <is>
          <t>Goal</t>
        </is>
      </c>
      <c r="B23" s="9" t="inlineStr">
        <is>
          <t>Target / Detail</t>
        </is>
      </c>
      <c r="C23" s="9" t="inlineStr">
        <is>
          <t>Deadline</t>
        </is>
      </c>
      <c r="D23" s="9" t="inlineStr">
        <is>
          <t>Status</t>
        </is>
      </c>
      <c r="E23" s="9" t="inlineStr">
        <is>
          <t>Notes</t>
        </is>
      </c>
    </row>
    <row r="24" ht="20" customHeight="1">
      <c r="A24" s="4" t="inlineStr">
        <is>
          <t>เพิ่ม net worth X%</t>
        </is>
      </c>
      <c r="B24" s="4" t="n"/>
      <c r="C24" s="4" t="n"/>
      <c r="D24" s="4" t="n"/>
      <c r="E24" s="4" t="n"/>
      <c r="F24" s="4" t="n"/>
    </row>
    <row r="25" ht="20" customHeight="1">
      <c r="A25" s="17" t="inlineStr">
        <is>
          <t>ออมเงิน X฿</t>
        </is>
      </c>
      <c r="B25" s="17" t="n"/>
      <c r="C25" s="17" t="n"/>
      <c r="D25" s="17" t="n"/>
      <c r="E25" s="17" t="n"/>
      <c r="F25" s="17" t="n"/>
    </row>
    <row r="26" ht="20" customHeight="1">
      <c r="A26" s="4" t="inlineStr">
        <is>
          <t>Custom goal 1</t>
        </is>
      </c>
      <c r="B26" s="4" t="n"/>
      <c r="C26" s="4" t="n"/>
      <c r="D26" s="4" t="n"/>
      <c r="E26" s="4" t="n"/>
      <c r="F26" s="4" t="n"/>
    </row>
    <row r="27" ht="20" customHeight="1">
      <c r="A27" s="17" t="inlineStr">
        <is>
          <t>Custom goal 2</t>
        </is>
      </c>
      <c r="B27" s="17" t="n"/>
      <c r="C27" s="17" t="n"/>
      <c r="D27" s="17" t="n"/>
      <c r="E27" s="17" t="n"/>
      <c r="F27" s="17" t="n"/>
    </row>
    <row r="29" ht="24" customHeight="1">
      <c r="A29" s="27" t="inlineStr">
        <is>
          <t>LIFETIME GOALS</t>
        </is>
      </c>
    </row>
    <row r="30">
      <c r="A30" s="9" t="inlineStr">
        <is>
          <t>Goal</t>
        </is>
      </c>
      <c r="B30" s="9" t="inlineStr">
        <is>
          <t>Target / Detail</t>
        </is>
      </c>
      <c r="C30" s="9" t="inlineStr">
        <is>
          <t>Deadline</t>
        </is>
      </c>
      <c r="D30" s="9" t="inlineStr">
        <is>
          <t>Status</t>
        </is>
      </c>
      <c r="E30" s="9" t="inlineStr">
        <is>
          <t>Notes</t>
        </is>
      </c>
    </row>
    <row r="31" ht="20" customHeight="1">
      <c r="A31" s="17" t="inlineStr">
        <is>
          <t>เป้าหมาย net worth สุดท้าย</t>
        </is>
      </c>
      <c r="B31" s="17" t="n"/>
      <c r="C31" s="17" t="n"/>
      <c r="D31" s="17" t="n"/>
      <c r="E31" s="17" t="n"/>
      <c r="F31" s="17" t="n"/>
    </row>
    <row r="32" ht="20" customHeight="1">
      <c r="A32" s="4" t="inlineStr">
        <is>
          <t>อายุเกษียณเป้าหมาย</t>
        </is>
      </c>
      <c r="B32" s="4" t="n"/>
      <c r="C32" s="4" t="n"/>
      <c r="D32" s="4" t="n"/>
      <c r="E32" s="4" t="n"/>
      <c r="F32" s="4" t="n"/>
    </row>
    <row r="33" ht="20" customHeight="1">
      <c r="A33" s="17" t="inlineStr">
        <is>
          <t>มรดกที่ต้องการทิ้งไว้</t>
        </is>
      </c>
      <c r="B33" s="17" t="n"/>
      <c r="C33" s="17" t="n"/>
      <c r="D33" s="17" t="n"/>
      <c r="E33" s="17" t="n"/>
      <c r="F33" s="17" t="n"/>
    </row>
    <row r="34" ht="20" customHeight="1">
      <c r="A34" s="4" t="inlineStr">
        <is>
          <t>Custom goal 1</t>
        </is>
      </c>
      <c r="B34" s="4" t="n"/>
      <c r="C34" s="4" t="n"/>
      <c r="D34" s="4" t="n"/>
      <c r="E34" s="4" t="n"/>
      <c r="F34" s="4" t="n"/>
    </row>
  </sheetData>
  <mergeCells count="6">
    <mergeCell ref="A2:F2"/>
    <mergeCell ref="A1:F1"/>
    <mergeCell ref="A9:F9"/>
    <mergeCell ref="A29:F29"/>
    <mergeCell ref="A22:F2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28" customWidth="1" min="5" max="5"/>
    <col width="22" customWidth="1" min="6" max="6"/>
  </cols>
  <sheetData>
    <row r="1" ht="30" customHeight="1">
      <c r="A1" s="28" t="inlineStr">
        <is>
          <t>PLANNING TIME LOG  (target: ≥ 8 hrs/month)</t>
        </is>
      </c>
    </row>
    <row r="2" ht="28" customHeight="1">
      <c r="A2" s="13" t="inlineStr">
        <is>
          <t>Month</t>
        </is>
      </c>
      <c r="B2" s="13" t="inlineStr">
        <is>
          <t>Activities</t>
        </is>
      </c>
      <c r="C2" s="13" t="inlineStr">
        <is>
          <t>Hours</t>
        </is>
      </c>
      <c r="D2" s="13" t="inlineStr">
        <is>
          <t>Topics Studied</t>
        </is>
      </c>
      <c r="E2" s="13" t="inlineStr">
        <is>
          <t>Key Insight</t>
        </is>
      </c>
      <c r="F2" s="13" t="inlineStr">
        <is>
          <t>Source (Book/Podcast/etc.)</t>
        </is>
      </c>
    </row>
    <row r="3" ht="22" customHeight="1">
      <c r="A3" s="14" t="inlineStr">
        <is>
          <t>Jan</t>
        </is>
      </c>
      <c r="B3" s="4" t="n"/>
      <c r="C3" s="29" t="n"/>
      <c r="D3" s="4" t="n"/>
      <c r="E3" s="4" t="n"/>
      <c r="F3" s="4" t="n"/>
    </row>
    <row r="4" ht="22" customHeight="1">
      <c r="A4" s="21" t="inlineStr">
        <is>
          <t>Feb</t>
        </is>
      </c>
      <c r="B4" s="17" t="n"/>
      <c r="C4" s="30" t="n"/>
      <c r="D4" s="17" t="n"/>
      <c r="E4" s="17" t="n"/>
      <c r="F4" s="17" t="n"/>
    </row>
    <row r="5" ht="22" customHeight="1">
      <c r="A5" s="14" t="inlineStr">
        <is>
          <t>Mar</t>
        </is>
      </c>
      <c r="B5" s="4" t="n"/>
      <c r="C5" s="29" t="n"/>
      <c r="D5" s="4" t="n"/>
      <c r="E5" s="4" t="n"/>
      <c r="F5" s="4" t="n"/>
    </row>
    <row r="6" ht="22" customHeight="1">
      <c r="A6" s="21" t="inlineStr">
        <is>
          <t>Apr</t>
        </is>
      </c>
      <c r="B6" s="17" t="n"/>
      <c r="C6" s="30" t="n"/>
      <c r="D6" s="17" t="n"/>
      <c r="E6" s="17" t="n"/>
      <c r="F6" s="17" t="n"/>
    </row>
    <row r="7" ht="22" customHeight="1">
      <c r="A7" s="14" t="inlineStr">
        <is>
          <t>May</t>
        </is>
      </c>
      <c r="B7" s="4" t="n"/>
      <c r="C7" s="29" t="n"/>
      <c r="D7" s="4" t="n"/>
      <c r="E7" s="4" t="n"/>
      <c r="F7" s="4" t="n"/>
    </row>
    <row r="8" ht="22" customHeight="1">
      <c r="A8" s="21" t="inlineStr">
        <is>
          <t>Jun</t>
        </is>
      </c>
      <c r="B8" s="17" t="n"/>
      <c r="C8" s="30" t="n"/>
      <c r="D8" s="17" t="n"/>
      <c r="E8" s="17" t="n"/>
      <c r="F8" s="17" t="n"/>
    </row>
    <row r="9" ht="22" customHeight="1">
      <c r="A9" s="14" t="inlineStr">
        <is>
          <t>Jul</t>
        </is>
      </c>
      <c r="B9" s="4" t="n"/>
      <c r="C9" s="29" t="n"/>
      <c r="D9" s="4" t="n"/>
      <c r="E9" s="4" t="n"/>
      <c r="F9" s="4" t="n"/>
    </row>
    <row r="10" ht="22" customHeight="1">
      <c r="A10" s="21" t="inlineStr">
        <is>
          <t>Aug</t>
        </is>
      </c>
      <c r="B10" s="17" t="n"/>
      <c r="C10" s="30" t="n"/>
      <c r="D10" s="17" t="n"/>
      <c r="E10" s="17" t="n"/>
      <c r="F10" s="17" t="n"/>
    </row>
    <row r="11" ht="22" customHeight="1">
      <c r="A11" s="14" t="inlineStr">
        <is>
          <t>Sep</t>
        </is>
      </c>
      <c r="B11" s="4" t="n"/>
      <c r="C11" s="29" t="n"/>
      <c r="D11" s="4" t="n"/>
      <c r="E11" s="4" t="n"/>
      <c r="F11" s="4" t="n"/>
    </row>
    <row r="12" ht="22" customHeight="1">
      <c r="A12" s="21" t="inlineStr">
        <is>
          <t>Oct</t>
        </is>
      </c>
      <c r="B12" s="17" t="n"/>
      <c r="C12" s="30" t="n"/>
      <c r="D12" s="17" t="n"/>
      <c r="E12" s="17" t="n"/>
      <c r="F12" s="17" t="n"/>
    </row>
    <row r="13" ht="22" customHeight="1">
      <c r="A13" s="14" t="inlineStr">
        <is>
          <t>Nov</t>
        </is>
      </c>
      <c r="B13" s="4" t="n"/>
      <c r="C13" s="29" t="n"/>
      <c r="D13" s="4" t="n"/>
      <c r="E13" s="4" t="n"/>
      <c r="F13" s="4" t="n"/>
    </row>
    <row r="14" ht="22" customHeight="1">
      <c r="A14" s="21" t="inlineStr">
        <is>
          <t>Dec</t>
        </is>
      </c>
      <c r="B14" s="17" t="n"/>
      <c r="C14" s="30" t="n"/>
      <c r="D14" s="17" t="n"/>
      <c r="E14" s="17" t="n"/>
      <c r="F14" s="17" t="n"/>
    </row>
    <row r="15">
      <c r="A15" s="3" t="inlineStr">
        <is>
          <t>TOTAL</t>
        </is>
      </c>
      <c r="C15" s="31">
        <f>SUM(C3:C14)</f>
        <v/>
      </c>
    </row>
    <row r="16">
      <c r="A16" s="3" t="inlineStr">
        <is>
          <t>Monthly Average</t>
        </is>
      </c>
      <c r="C16" s="32">
        <f>AVERAGE(C3:C14)</f>
        <v/>
      </c>
    </row>
    <row r="17">
      <c r="A17" s="3" t="inlineStr">
        <is>
          <t>Hit 8hr target? (months)</t>
        </is>
      </c>
      <c r="C17" s="3">
        <f>COUNTIF(C3:C14,"&gt;=8")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2" t="inlineStr">
        <is>
          <t>ANNUAL REVIEW LOG</t>
        </is>
      </c>
    </row>
    <row r="3" ht="24" customHeight="1">
      <c r="A3" s="2" t="inlineStr">
        <is>
          <t>WEALTH STATUS</t>
        </is>
      </c>
    </row>
    <row r="4" ht="22" customHeight="1">
      <c r="A4" s="14" t="inlineStr">
        <is>
          <t>PAW / UAW Status this year?</t>
        </is>
      </c>
      <c r="B4" s="4" t="inlineStr"/>
      <c r="C4" s="33" t="n"/>
      <c r="D4" s="33" t="n"/>
    </row>
    <row r="5" ht="22" customHeight="1">
      <c r="A5" s="21" t="inlineStr">
        <is>
          <t>Net Worth vs. last year?</t>
        </is>
      </c>
      <c r="B5" s="17" t="inlineStr"/>
      <c r="C5" s="33" t="n"/>
      <c r="D5" s="33" t="n"/>
    </row>
    <row r="6" ht="22" customHeight="1">
      <c r="A6" s="14" t="inlineStr">
        <is>
          <t>Savings Rate this year?</t>
        </is>
      </c>
      <c r="B6" s="4" t="inlineStr"/>
      <c r="C6" s="33" t="n"/>
      <c r="D6" s="33" t="n"/>
    </row>
    <row r="7" ht="22" customHeight="1">
      <c r="A7" s="21" t="inlineStr">
        <is>
          <t>Biggest financial win?</t>
        </is>
      </c>
      <c r="B7" s="17" t="inlineStr"/>
      <c r="C7" s="33" t="n"/>
      <c r="D7" s="33" t="n"/>
    </row>
    <row r="8" ht="22" customHeight="1">
      <c r="A8" s="14" t="inlineStr">
        <is>
          <t>Biggest financial mistake?</t>
        </is>
      </c>
      <c r="B8" s="4" t="inlineStr"/>
      <c r="C8" s="33" t="n"/>
      <c r="D8" s="33" t="n"/>
    </row>
    <row r="10" ht="24" customHeight="1">
      <c r="A10" s="2" t="inlineStr">
        <is>
          <t>BUDGET REVIEW</t>
        </is>
      </c>
    </row>
    <row r="11" ht="22" customHeight="1">
      <c r="A11" s="21" t="inlineStr">
        <is>
          <t>Did I operate on a written budget?</t>
        </is>
      </c>
      <c r="B11" s="17" t="inlineStr">
        <is>
          <t>Y / N</t>
        </is>
      </c>
      <c r="C11" s="33" t="n"/>
      <c r="D11" s="33" t="n"/>
    </row>
    <row r="12" ht="22" customHeight="1">
      <c r="A12" s="14" t="inlineStr">
        <is>
          <t>Top 3 categories that overspent?</t>
        </is>
      </c>
      <c r="B12" s="4" t="inlineStr"/>
      <c r="C12" s="33" t="n"/>
      <c r="D12" s="33" t="n"/>
    </row>
    <row r="13" ht="22" customHeight="1">
      <c r="A13" s="21" t="inlineStr">
        <is>
          <t>Top 3 categories I cut successfully?</t>
        </is>
      </c>
      <c r="B13" s="17" t="inlineStr"/>
      <c r="C13" s="33" t="n"/>
      <c r="D13" s="33" t="n"/>
    </row>
    <row r="15" ht="24" customHeight="1">
      <c r="A15" s="2" t="inlineStr">
        <is>
          <t>GOALS REVIEW</t>
        </is>
      </c>
    </row>
    <row r="16" ht="22" customHeight="1">
      <c r="A16" s="14" t="inlineStr">
        <is>
          <t>Annual goals achieved? (list)</t>
        </is>
      </c>
      <c r="B16" s="4" t="inlineStr"/>
      <c r="C16" s="33" t="n"/>
      <c r="D16" s="33" t="n"/>
    </row>
    <row r="17" ht="22" customHeight="1">
      <c r="A17" s="21" t="inlineStr">
        <is>
          <t>Goals carried to next year?</t>
        </is>
      </c>
      <c r="B17" s="17" t="inlineStr"/>
      <c r="C17" s="33" t="n"/>
      <c r="D17" s="33" t="n"/>
    </row>
    <row r="18" ht="22" customHeight="1">
      <c r="A18" s="14" t="inlineStr">
        <is>
          <t>New lifetime goal insight?</t>
        </is>
      </c>
      <c r="B18" s="4" t="inlineStr"/>
      <c r="C18" s="33" t="n"/>
      <c r="D18" s="33" t="n"/>
    </row>
    <row r="20" ht="24" customHeight="1">
      <c r="A20" s="2" t="inlineStr">
        <is>
          <t>PLANNING REVIEW</t>
        </is>
      </c>
    </row>
    <row r="21" ht="22" customHeight="1">
      <c r="A21" s="21" t="inlineStr">
        <is>
          <t>Total planning hours this year?</t>
        </is>
      </c>
      <c r="B21" s="17" t="inlineStr"/>
      <c r="C21" s="33" t="n"/>
      <c r="D21" s="33" t="n"/>
    </row>
    <row r="22" ht="22" customHeight="1">
      <c r="A22" s="14" t="inlineStr">
        <is>
          <t>Average hours/month?</t>
        </is>
      </c>
      <c r="B22" s="4" t="inlineStr"/>
      <c r="C22" s="33" t="n"/>
      <c r="D22" s="33" t="n"/>
    </row>
    <row r="23" ht="22" customHeight="1">
      <c r="A23" s="21" t="inlineStr">
        <is>
          <t>Best source of financial education?</t>
        </is>
      </c>
      <c r="B23" s="17" t="inlineStr"/>
      <c r="C23" s="33" t="n"/>
      <c r="D23" s="33" t="n"/>
    </row>
    <row r="24" ht="22" customHeight="1">
      <c r="A24" s="14" t="inlineStr">
        <is>
          <t>Top 3 lessons learned?</t>
        </is>
      </c>
      <c r="B24" s="4" t="inlineStr"/>
      <c r="C24" s="33" t="n"/>
      <c r="D24" s="33" t="n"/>
    </row>
    <row r="26" ht="24" customHeight="1">
      <c r="A26" s="2" t="inlineStr">
        <is>
          <t>NEXT YEAR COMMITMENTS</t>
        </is>
      </c>
    </row>
    <row r="27" ht="22" customHeight="1">
      <c r="A27" s="21" t="inlineStr">
        <is>
          <t>Annual savings target (฿)?</t>
        </is>
      </c>
      <c r="B27" s="17" t="inlineStr"/>
      <c r="C27" s="33" t="n"/>
      <c r="D27" s="33" t="n"/>
    </row>
    <row r="28" ht="22" customHeight="1">
      <c r="A28" s="14" t="inlineStr">
        <is>
          <t>Net worth target (฿)?</t>
        </is>
      </c>
      <c r="B28" s="4" t="inlineStr"/>
      <c r="C28" s="33" t="n"/>
      <c r="D28" s="33" t="n"/>
    </row>
    <row r="29" ht="22" customHeight="1">
      <c r="A29" s="21" t="inlineStr">
        <is>
          <t>One habit to start?</t>
        </is>
      </c>
      <c r="B29" s="17" t="inlineStr"/>
      <c r="C29" s="33" t="n"/>
      <c r="D29" s="33" t="n"/>
    </row>
    <row r="30" ht="22" customHeight="1">
      <c r="A30" s="14" t="inlineStr">
        <is>
          <t>One habit to stop?</t>
        </is>
      </c>
      <c r="B30" s="4" t="inlineStr"/>
      <c r="C30" s="33" t="n"/>
      <c r="D30" s="33" t="n"/>
    </row>
  </sheetData>
  <mergeCells count="25">
    <mergeCell ref="B11:D11"/>
    <mergeCell ref="B23:D23"/>
    <mergeCell ref="B8:D8"/>
    <mergeCell ref="A20:D20"/>
    <mergeCell ref="B17:D17"/>
    <mergeCell ref="B13:D13"/>
    <mergeCell ref="B29:D29"/>
    <mergeCell ref="A10:D10"/>
    <mergeCell ref="B28:D28"/>
    <mergeCell ref="A15:D15"/>
    <mergeCell ref="B30:D30"/>
    <mergeCell ref="B6:D6"/>
    <mergeCell ref="B24:D24"/>
    <mergeCell ref="A1:D1"/>
    <mergeCell ref="B5:D5"/>
    <mergeCell ref="B4:D4"/>
    <mergeCell ref="B7:D7"/>
    <mergeCell ref="B16:D16"/>
    <mergeCell ref="B22:D22"/>
    <mergeCell ref="A3:D3"/>
    <mergeCell ref="A26:D26"/>
    <mergeCell ref="B18:D18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2026-07-12T16:14:31Z</dcterms:created>
  <dcterms:modified xmlns:dcterms="http://purl.org/dc/terms/" xmlns:xsi="http://www.w3.org/2001/XMLSchema-instance" xsi:type="dcterms:W3CDTF">2026-07-12T16:14:31Z</dcterms:modified>
</cp:coreProperties>
</file>